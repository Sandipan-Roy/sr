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ssignment\Chirag\Uploads\Assignment\"/>
    </mc:Choice>
  </mc:AlternateContent>
  <xr:revisionPtr revIDLastSave="0" documentId="13_ncr:1_{73E9EC40-F976-4090-AA5A-7C4B06CBB233}" xr6:coauthVersionLast="41" xr6:coauthVersionMax="41" xr10:uidLastSave="{00000000-0000-0000-0000-000000000000}"/>
  <bookViews>
    <workbookView xWindow="-120" yWindow="-120" windowWidth="20730" windowHeight="11040" xr2:uid="{D832CF49-BFEB-43FB-AEB9-6B55DD9908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1" l="1"/>
  <c r="C42" i="1"/>
  <c r="C43" i="1"/>
  <c r="C44" i="1"/>
  <c r="C40" i="1"/>
  <c r="B33" i="1"/>
  <c r="B30" i="1"/>
  <c r="G21" i="1"/>
  <c r="G22" i="1"/>
  <c r="G23" i="1"/>
  <c r="G24" i="1"/>
  <c r="G20" i="1"/>
  <c r="F21" i="1"/>
  <c r="F22" i="1"/>
  <c r="F23" i="1"/>
  <c r="F24" i="1"/>
  <c r="F20" i="1"/>
  <c r="E21" i="1"/>
  <c r="E22" i="1"/>
  <c r="E23" i="1"/>
  <c r="C17" i="1"/>
  <c r="E24" i="1" s="1"/>
  <c r="C16" i="1"/>
  <c r="D21" i="1" s="1"/>
  <c r="D20" i="1" l="1"/>
  <c r="D24" i="1"/>
  <c r="D23" i="1"/>
  <c r="D22" i="1"/>
  <c r="E20" i="1"/>
  <c r="B27" i="1" l="1"/>
  <c r="D27" i="1"/>
</calcChain>
</file>

<file path=xl/sharedStrings.xml><?xml version="1.0" encoding="utf-8"?>
<sst xmlns="http://schemas.openxmlformats.org/spreadsheetml/2006/main" count="34" uniqueCount="32">
  <si>
    <t>Observation</t>
  </si>
  <si>
    <t>TV_Ad_Spent(X)</t>
  </si>
  <si>
    <t>Sales(Y)</t>
  </si>
  <si>
    <t>Formula:</t>
  </si>
  <si>
    <t>Sales = m * TV_Ad_Spent + C</t>
  </si>
  <si>
    <t>Step1:</t>
  </si>
  <si>
    <t>Calculate mean of X and Y</t>
  </si>
  <si>
    <t>X'</t>
  </si>
  <si>
    <t>Y'</t>
  </si>
  <si>
    <t>Step2:</t>
  </si>
  <si>
    <t>Tabulation</t>
  </si>
  <si>
    <t>X</t>
  </si>
  <si>
    <t>Y</t>
  </si>
  <si>
    <t>X - X'</t>
  </si>
  <si>
    <t>Y - Y'</t>
  </si>
  <si>
    <t>(X - X')(Y - Y')</t>
  </si>
  <si>
    <t>(X - X')^2</t>
  </si>
  <si>
    <t>Step 3:</t>
  </si>
  <si>
    <t>Sum((X - X')(Y - Y'))</t>
  </si>
  <si>
    <t>Sum((X - X')^2)</t>
  </si>
  <si>
    <t>Summation</t>
  </si>
  <si>
    <t>Step 4:</t>
  </si>
  <si>
    <t>m = Sum((X - X')(Y - Y')) / Sum((X - X')^2)</t>
  </si>
  <si>
    <t>c = Y' - mX'</t>
  </si>
  <si>
    <t>Step 5:</t>
  </si>
  <si>
    <t>Step 6:</t>
  </si>
  <si>
    <t>Formula</t>
  </si>
  <si>
    <t>Sales = m * TV_Ad_Spent + c</t>
  </si>
  <si>
    <t>Step 7:</t>
  </si>
  <si>
    <t>Predict</t>
  </si>
  <si>
    <t>Y Predict</t>
  </si>
  <si>
    <t>Predict the product sales depending on the TV 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</si>
</sst>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Border="1"/>
    <xf numFmtId="0" fontId="1" fillId="0" borderId="20" xfId="0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2" fillId="0" borderId="0" xfId="0" applyFont="1" applyAlignment="1">
      <alignment horizontal="center" vertical="center"/>
    </xf>
    <xf numFmtId="0" fontId="1" fillId="0" borderId="2" xfId="0" applyFont="1" applyBorder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B05EC-8538-46BC-868F-81570E695CA5}">
  <dimension ref="A1:G44"/>
  <sheetViews>
    <sheetView tabSelected="1" workbookViewId="0">
      <selection activeCell="E5" sqref="E5"/>
    </sheetView>
  </sheetViews>
  <sheetFormatPr defaultRowHeight="15" x14ac:dyDescent="0.25"/>
  <cols>
    <col min="1" max="1" width="11.85546875" bestFit="1" customWidth="1"/>
    <col min="2" max="2" width="15.5703125" bestFit="1" customWidth="1"/>
    <col min="3" max="3" width="8.42578125" bestFit="1" customWidth="1"/>
    <col min="4" max="4" width="14.140625" bestFit="1" customWidth="1"/>
    <col min="6" max="6" width="12.140625" bestFit="1" customWidth="1"/>
  </cols>
  <sheetData>
    <row r="1" spans="1:7" x14ac:dyDescent="0.25">
      <c r="A1" s="25" t="s">
        <v>31</v>
      </c>
      <c r="B1" s="25"/>
      <c r="C1" s="25"/>
      <c r="D1" s="25"/>
      <c r="E1" s="25"/>
      <c r="F1" s="25"/>
      <c r="G1" s="25"/>
    </row>
    <row r="2" spans="1:7" x14ac:dyDescent="0.25">
      <c r="A2" s="25"/>
      <c r="B2" s="25"/>
      <c r="C2" s="25"/>
      <c r="D2" s="25"/>
      <c r="E2" s="25"/>
      <c r="F2" s="25"/>
      <c r="G2" s="25"/>
    </row>
    <row r="3" spans="1:7" ht="15.75" thickBot="1" x14ac:dyDescent="0.3"/>
    <row r="4" spans="1:7" ht="15.75" thickBot="1" x14ac:dyDescent="0.3">
      <c r="A4" s="27" t="s">
        <v>0</v>
      </c>
      <c r="B4" s="28" t="s">
        <v>1</v>
      </c>
      <c r="C4" s="29" t="s">
        <v>2</v>
      </c>
    </row>
    <row r="5" spans="1:7" x14ac:dyDescent="0.25">
      <c r="A5" s="9">
        <v>1</v>
      </c>
      <c r="B5" s="10">
        <v>230.1</v>
      </c>
      <c r="C5" s="11">
        <v>22.1</v>
      </c>
    </row>
    <row r="6" spans="1:7" x14ac:dyDescent="0.25">
      <c r="A6" s="4">
        <v>2</v>
      </c>
      <c r="B6" s="3">
        <v>44.5</v>
      </c>
      <c r="C6" s="5">
        <v>10.4</v>
      </c>
    </row>
    <row r="7" spans="1:7" x14ac:dyDescent="0.25">
      <c r="A7" s="4">
        <v>3</v>
      </c>
      <c r="B7" s="3">
        <v>17.2</v>
      </c>
      <c r="C7" s="5">
        <v>9.3000000000000007</v>
      </c>
    </row>
    <row r="8" spans="1:7" x14ac:dyDescent="0.25">
      <c r="A8" s="4">
        <v>4</v>
      </c>
      <c r="B8" s="3">
        <v>151.5</v>
      </c>
      <c r="C8" s="5">
        <v>18.5</v>
      </c>
    </row>
    <row r="9" spans="1:7" ht="15.75" thickBot="1" x14ac:dyDescent="0.3">
      <c r="A9" s="6">
        <v>5</v>
      </c>
      <c r="B9" s="7">
        <v>180.8</v>
      </c>
      <c r="C9" s="8">
        <v>12.9</v>
      </c>
    </row>
    <row r="12" spans="1:7" x14ac:dyDescent="0.25">
      <c r="A12" t="s">
        <v>3</v>
      </c>
    </row>
    <row r="13" spans="1:7" x14ac:dyDescent="0.25">
      <c r="A13" s="1" t="s">
        <v>4</v>
      </c>
      <c r="B13" s="1"/>
      <c r="C13" s="1"/>
    </row>
    <row r="15" spans="1:7" s="2" customFormat="1" x14ac:dyDescent="0.25">
      <c r="A15" s="2" t="s">
        <v>5</v>
      </c>
      <c r="B15" s="2" t="s">
        <v>6</v>
      </c>
    </row>
    <row r="16" spans="1:7" x14ac:dyDescent="0.25">
      <c r="B16" t="s">
        <v>7</v>
      </c>
      <c r="C16">
        <f>AVERAGE(B5:B9)</f>
        <v>124.82000000000001</v>
      </c>
    </row>
    <row r="17" spans="1:7" x14ac:dyDescent="0.25">
      <c r="B17" t="s">
        <v>8</v>
      </c>
      <c r="C17">
        <f>AVERAGE(C5:C9)</f>
        <v>14.64</v>
      </c>
    </row>
    <row r="18" spans="1:7" s="2" customFormat="1" ht="15.75" thickBot="1" x14ac:dyDescent="0.3">
      <c r="A18" s="2" t="s">
        <v>9</v>
      </c>
      <c r="B18" s="2" t="s">
        <v>10</v>
      </c>
    </row>
    <row r="19" spans="1:7" x14ac:dyDescent="0.25">
      <c r="B19" s="22" t="s">
        <v>11</v>
      </c>
      <c r="C19" s="23" t="s">
        <v>12</v>
      </c>
      <c r="D19" s="23" t="s">
        <v>13</v>
      </c>
      <c r="E19" s="23" t="s">
        <v>14</v>
      </c>
      <c r="F19" s="23" t="s">
        <v>15</v>
      </c>
      <c r="G19" s="24" t="s">
        <v>16</v>
      </c>
    </row>
    <row r="20" spans="1:7" x14ac:dyDescent="0.25">
      <c r="B20" s="4">
        <v>230.1</v>
      </c>
      <c r="C20" s="3">
        <v>22.1</v>
      </c>
      <c r="D20" s="3">
        <f>B20-$C$16</f>
        <v>105.27999999999999</v>
      </c>
      <c r="E20" s="3">
        <f>C20-$C$17</f>
        <v>7.4600000000000009</v>
      </c>
      <c r="F20" s="3">
        <f>ROUND( D20*E20, 2)</f>
        <v>785.39</v>
      </c>
      <c r="G20" s="5">
        <f>ROUND( POWER(D20,2), 2)</f>
        <v>11083.88</v>
      </c>
    </row>
    <row r="21" spans="1:7" x14ac:dyDescent="0.25">
      <c r="B21" s="4">
        <v>44.5</v>
      </c>
      <c r="C21" s="3">
        <v>10.4</v>
      </c>
      <c r="D21" s="3">
        <f t="shared" ref="D21:D24" si="0">B21-$C$16</f>
        <v>-80.320000000000007</v>
      </c>
      <c r="E21" s="3">
        <f t="shared" ref="E21:E24" si="1">C21-$C$17</f>
        <v>-4.24</v>
      </c>
      <c r="F21" s="3">
        <f t="shared" ref="F21:F24" si="2">ROUND( D21*E21, 2)</f>
        <v>340.56</v>
      </c>
      <c r="G21" s="5">
        <f t="shared" ref="G21:G24" si="3">ROUND( POWER(D21,2), 2)</f>
        <v>6451.3</v>
      </c>
    </row>
    <row r="22" spans="1:7" x14ac:dyDescent="0.25">
      <c r="B22" s="4">
        <v>17.2</v>
      </c>
      <c r="C22" s="3">
        <v>9.3000000000000007</v>
      </c>
      <c r="D22" s="3">
        <f t="shared" si="0"/>
        <v>-107.62</v>
      </c>
      <c r="E22" s="3">
        <f t="shared" si="1"/>
        <v>-5.34</v>
      </c>
      <c r="F22" s="3">
        <f t="shared" si="2"/>
        <v>574.69000000000005</v>
      </c>
      <c r="G22" s="5">
        <f t="shared" si="3"/>
        <v>11582.06</v>
      </c>
    </row>
    <row r="23" spans="1:7" x14ac:dyDescent="0.25">
      <c r="B23" s="4">
        <v>151.5</v>
      </c>
      <c r="C23" s="3">
        <v>18.5</v>
      </c>
      <c r="D23" s="3">
        <f t="shared" si="0"/>
        <v>26.679999999999993</v>
      </c>
      <c r="E23" s="3">
        <f t="shared" si="1"/>
        <v>3.8599999999999994</v>
      </c>
      <c r="F23" s="3">
        <f t="shared" si="2"/>
        <v>102.98</v>
      </c>
      <c r="G23" s="5">
        <f t="shared" si="3"/>
        <v>711.82</v>
      </c>
    </row>
    <row r="24" spans="1:7" ht="15.75" thickBot="1" x14ac:dyDescent="0.3">
      <c r="B24" s="6">
        <v>180.8</v>
      </c>
      <c r="C24" s="7">
        <v>12.9</v>
      </c>
      <c r="D24" s="7">
        <f t="shared" si="0"/>
        <v>55.980000000000004</v>
      </c>
      <c r="E24" s="7">
        <f t="shared" si="1"/>
        <v>-1.7400000000000002</v>
      </c>
      <c r="F24" s="3">
        <f t="shared" si="2"/>
        <v>-97.41</v>
      </c>
      <c r="G24" s="5">
        <f t="shared" si="3"/>
        <v>3133.76</v>
      </c>
    </row>
    <row r="25" spans="1:7" s="2" customFormat="1" ht="15.75" thickBot="1" x14ac:dyDescent="0.3">
      <c r="A25" s="2" t="s">
        <v>17</v>
      </c>
      <c r="B25" s="2" t="s">
        <v>20</v>
      </c>
    </row>
    <row r="26" spans="1:7" ht="15.75" thickBot="1" x14ac:dyDescent="0.3">
      <c r="B26" s="12" t="s">
        <v>18</v>
      </c>
      <c r="C26" s="13"/>
      <c r="D26" s="14" t="s">
        <v>19</v>
      </c>
    </row>
    <row r="27" spans="1:7" ht="15.75" thickBot="1" x14ac:dyDescent="0.3">
      <c r="B27" s="15">
        <f>SUM(F20:F24)</f>
        <v>1706.21</v>
      </c>
      <c r="C27" s="16"/>
      <c r="D27" s="17">
        <f>SUM(G20:G24)</f>
        <v>32962.82</v>
      </c>
    </row>
    <row r="28" spans="1:7" ht="15.75" thickBot="1" x14ac:dyDescent="0.3">
      <c r="B28" s="18"/>
      <c r="C28" s="18"/>
      <c r="D28" s="18"/>
    </row>
    <row r="29" spans="1:7" s="2" customFormat="1" ht="15.75" thickBot="1" x14ac:dyDescent="0.3">
      <c r="A29" s="2" t="s">
        <v>21</v>
      </c>
      <c r="B29" s="19" t="s">
        <v>22</v>
      </c>
      <c r="C29" s="20"/>
      <c r="D29" s="20"/>
      <c r="E29" s="21"/>
    </row>
    <row r="30" spans="1:7" x14ac:dyDescent="0.25">
      <c r="B30">
        <f>ROUND( B27/D27, 2)</f>
        <v>0.05</v>
      </c>
    </row>
    <row r="31" spans="1:7" ht="15.75" thickBot="1" x14ac:dyDescent="0.3"/>
    <row r="32" spans="1:7" s="2" customFormat="1" ht="15.75" thickBot="1" x14ac:dyDescent="0.3">
      <c r="A32" s="2" t="s">
        <v>24</v>
      </c>
      <c r="B32" s="26" t="s">
        <v>23</v>
      </c>
    </row>
    <row r="33" spans="1:4" x14ac:dyDescent="0.25">
      <c r="B33">
        <f>ROUND( C17-B30*C16, 2)</f>
        <v>8.4</v>
      </c>
    </row>
    <row r="35" spans="1:4" s="2" customFormat="1" ht="15.75" thickBot="1" x14ac:dyDescent="0.3">
      <c r="A35" s="2" t="s">
        <v>25</v>
      </c>
      <c r="B35" s="2" t="s">
        <v>26</v>
      </c>
    </row>
    <row r="36" spans="1:4" ht="15.75" thickBot="1" x14ac:dyDescent="0.3">
      <c r="B36" s="19" t="s">
        <v>27</v>
      </c>
      <c r="C36" s="20"/>
      <c r="D36" s="21"/>
    </row>
    <row r="38" spans="1:4" s="2" customFormat="1" ht="15.75" thickBot="1" x14ac:dyDescent="0.3">
      <c r="A38" s="2" t="s">
        <v>28</v>
      </c>
      <c r="B38" s="2" t="s">
        <v>29</v>
      </c>
    </row>
    <row r="39" spans="1:4" ht="15.75" thickBot="1" x14ac:dyDescent="0.3">
      <c r="B39" s="27" t="s">
        <v>11</v>
      </c>
      <c r="C39" s="28" t="s">
        <v>30</v>
      </c>
      <c r="D39" s="29" t="s">
        <v>2</v>
      </c>
    </row>
    <row r="40" spans="1:4" x14ac:dyDescent="0.25">
      <c r="B40" s="9">
        <v>230.1</v>
      </c>
      <c r="C40" s="10">
        <f xml:space="preserve"> ROUND( $B$30 * B40 + $B$33, 2)</f>
        <v>19.91</v>
      </c>
      <c r="D40" s="11">
        <v>22.1</v>
      </c>
    </row>
    <row r="41" spans="1:4" x14ac:dyDescent="0.25">
      <c r="B41" s="4">
        <v>44.5</v>
      </c>
      <c r="C41" s="3">
        <f t="shared" ref="C41:C44" si="4" xml:space="preserve"> ROUND( $B$30 * B41 + $B$33, 2)</f>
        <v>10.63</v>
      </c>
      <c r="D41" s="5">
        <v>10.4</v>
      </c>
    </row>
    <row r="42" spans="1:4" x14ac:dyDescent="0.25">
      <c r="B42" s="4">
        <v>17.2</v>
      </c>
      <c r="C42" s="3">
        <f t="shared" si="4"/>
        <v>9.26</v>
      </c>
      <c r="D42" s="5">
        <v>9.3000000000000007</v>
      </c>
    </row>
    <row r="43" spans="1:4" x14ac:dyDescent="0.25">
      <c r="B43" s="4">
        <v>151.5</v>
      </c>
      <c r="C43" s="3">
        <f t="shared" si="4"/>
        <v>15.98</v>
      </c>
      <c r="D43" s="5">
        <v>18.5</v>
      </c>
    </row>
    <row r="44" spans="1:4" ht="15.75" thickBot="1" x14ac:dyDescent="0.3">
      <c r="B44" s="6">
        <v>180.8</v>
      </c>
      <c r="C44" s="7">
        <f t="shared" si="4"/>
        <v>17.440000000000001</v>
      </c>
      <c r="D44" s="8">
        <v>12.9</v>
      </c>
    </row>
  </sheetData>
  <mergeCells count="4">
    <mergeCell ref="A13:C13"/>
    <mergeCell ref="B29:E29"/>
    <mergeCell ref="A1:G2"/>
    <mergeCell ref="B36:D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2026-02-04T15:52:24Z</dcterms:created>
  <dcterms:modified xsi:type="dcterms:W3CDTF">2026-02-04T17:21:31Z</dcterms:modified>
</cp:coreProperties>
</file>